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/>
  <workbookPr codeName="DieseArbeitsmappe"/>
  <mc:AlternateContent xmlns:mc="http://schemas.openxmlformats.org/markup-compatibility/2006">
    <mc:Choice Requires="x15">
      <x15ac:absPath xmlns:x15ac="http://schemas.microsoft.com/office/spreadsheetml/2010/11/ac" url="G:\Geteilte Ablagen\09_YouTube Pipeline\2 Zu bearbeiten Tadeus\95 - Excel VBA Anfänger Tutorial\Downloads\"/>
    </mc:Choice>
  </mc:AlternateContent>
  <xr:revisionPtr revIDLastSave="0" documentId="13_ncr:1_{287B3050-286E-4C8A-A9F6-828B056C1995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roduktübersicht" sheetId="2" r:id="rId1"/>
    <sheet name="Bestellungen" sheetId="1" r:id="rId2"/>
    <sheet name="Kunden" sheetId="67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6" i="1" l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C3" i="1"/>
  <c r="C20" i="1"/>
  <c r="C8" i="1"/>
  <c r="D4" i="1"/>
  <c r="D18" i="1"/>
  <c r="D26" i="1"/>
  <c r="D2" i="1"/>
  <c r="C16" i="1"/>
  <c r="D21" i="1"/>
  <c r="D14" i="1"/>
  <c r="C21" i="1"/>
  <c r="D17" i="1"/>
  <c r="C11" i="1"/>
  <c r="C7" i="1"/>
  <c r="C25" i="1"/>
  <c r="D12" i="1"/>
  <c r="D19" i="1"/>
  <c r="D11" i="1"/>
  <c r="D13" i="1"/>
  <c r="C5" i="1"/>
  <c r="D3" i="1"/>
  <c r="D8" i="1"/>
  <c r="C26" i="1"/>
  <c r="D24" i="1"/>
  <c r="C19" i="1"/>
  <c r="C24" i="1"/>
  <c r="C6" i="1"/>
  <c r="D20" i="1"/>
  <c r="D5" i="1"/>
  <c r="D7" i="1"/>
  <c r="D6" i="1"/>
  <c r="C23" i="1"/>
  <c r="C9" i="1"/>
  <c r="C2" i="1"/>
  <c r="D25" i="1"/>
  <c r="C18" i="1"/>
  <c r="C15" i="1"/>
  <c r="C17" i="1"/>
  <c r="C14" i="1"/>
  <c r="D9" i="1"/>
  <c r="D22" i="1"/>
  <c r="D23" i="1"/>
  <c r="C4" i="1"/>
  <c r="D16" i="1"/>
  <c r="C22" i="1"/>
  <c r="D10" i="1"/>
  <c r="C10" i="1"/>
  <c r="C13" i="1"/>
  <c r="D15" i="1"/>
  <c r="C12" i="1"/>
  <c r="I4" i="1"/>
  <c r="I11" i="1"/>
  <c r="I19" i="1"/>
  <c r="I3" i="1"/>
  <c r="K3" i="1"/>
  <c r="I8" i="1"/>
  <c r="I5" i="1"/>
  <c r="I7" i="1"/>
  <c r="I16" i="1"/>
  <c r="I24" i="1"/>
  <c r="K7" i="1"/>
  <c r="I13" i="1"/>
  <c r="I10" i="1"/>
  <c r="K10" i="1" s="1"/>
  <c r="I18" i="1"/>
  <c r="K18" i="1" s="1"/>
  <c r="I22" i="1"/>
  <c r="I17" i="1"/>
  <c r="I9" i="1"/>
  <c r="I21" i="1"/>
  <c r="I12" i="1"/>
  <c r="I2" i="1"/>
  <c r="K2" i="1" s="1"/>
  <c r="I26" i="1"/>
  <c r="I23" i="1"/>
  <c r="I6" i="1"/>
  <c r="K6" i="1"/>
  <c r="I15" i="1"/>
  <c r="K15" i="1" s="1"/>
  <c r="K16" i="1"/>
  <c r="I14" i="1"/>
  <c r="K22" i="1"/>
  <c r="K11" i="1"/>
  <c r="I20" i="1"/>
  <c r="I25" i="1"/>
  <c r="K25" i="1"/>
  <c r="K17" i="1"/>
  <c r="K23" i="1"/>
  <c r="K8" i="1"/>
  <c r="K4" i="1"/>
  <c r="K20" i="1"/>
  <c r="K13" i="1"/>
  <c r="K24" i="1"/>
  <c r="K5" i="1"/>
  <c r="K21" i="1"/>
  <c r="K14" i="1"/>
  <c r="K9" i="1"/>
  <c r="K12" i="1"/>
  <c r="K26" i="1"/>
  <c r="K19" i="1"/>
</calcChain>
</file>

<file path=xl/sharedStrings.xml><?xml version="1.0" encoding="utf-8"?>
<sst xmlns="http://schemas.openxmlformats.org/spreadsheetml/2006/main" count="165" uniqueCount="89">
  <si>
    <t>Datum</t>
  </si>
  <si>
    <t>Name</t>
  </si>
  <si>
    <t>Erica Mayer</t>
  </si>
  <si>
    <t>Laura Schmidt</t>
  </si>
  <si>
    <t>Paul Schneider</t>
  </si>
  <si>
    <t>Peter Fischer</t>
  </si>
  <si>
    <t>Hanna Weber</t>
  </si>
  <si>
    <t>Mila Richter</t>
  </si>
  <si>
    <t>Felix Klein</t>
  </si>
  <si>
    <t>Emma Schäfer</t>
  </si>
  <si>
    <t>Ben Koch</t>
  </si>
  <si>
    <t>Anzahl</t>
  </si>
  <si>
    <t>Produkt</t>
  </si>
  <si>
    <t>Pflegespülung Kokostraum</t>
  </si>
  <si>
    <t>Shampoo Sensitive Plus</t>
  </si>
  <si>
    <t>Antischuppen Spezial</t>
  </si>
  <si>
    <t>Preis</t>
  </si>
  <si>
    <t>Conditioner Tropical Pro</t>
  </si>
  <si>
    <t>Versandkosten</t>
  </si>
  <si>
    <t>Bestellwert</t>
  </si>
  <si>
    <t>Gesamt</t>
  </si>
  <si>
    <t>Antwort-Email</t>
  </si>
  <si>
    <t>E-Mail</t>
  </si>
  <si>
    <t>maxhuber95@gmail.com</t>
  </si>
  <si>
    <t>ericamayer@hotmail.de</t>
  </si>
  <si>
    <t>felixk81@yahoo.de</t>
  </si>
  <si>
    <t>peter.fischer@gmail.com</t>
  </si>
  <si>
    <t>benkoch@hotmail.de</t>
  </si>
  <si>
    <t>emma123@gmx.de</t>
  </si>
  <si>
    <t>lauraschm@gmx.de</t>
  </si>
  <si>
    <t>paul@mail.de</t>
  </si>
  <si>
    <t>h.weber@mailinator.de</t>
  </si>
  <si>
    <t>mila.r@byom.de</t>
  </si>
  <si>
    <t>Michael Meier</t>
  </si>
  <si>
    <t>Franziska Kleinhans</t>
  </si>
  <si>
    <t>Emanuel Burkhardt</t>
  </si>
  <si>
    <t>Sieglinde Freimoser</t>
  </si>
  <si>
    <t>Fred Smith</t>
  </si>
  <si>
    <t>Emil Kästner</t>
  </si>
  <si>
    <t>Katharina Freitag</t>
  </si>
  <si>
    <t>m.meier97-2@gmx.de</t>
  </si>
  <si>
    <t>franzi-k2@gmail.com</t>
  </si>
  <si>
    <t>ebkh@yahoo.de</t>
  </si>
  <si>
    <t>fred.smith45@gmail.com</t>
  </si>
  <si>
    <t>e.kaestner@aol.com</t>
  </si>
  <si>
    <t>freitagkatharina@gmx.de</t>
  </si>
  <si>
    <t>sieglinde.freimoser@aol.com</t>
  </si>
  <si>
    <t>Vorname (n)</t>
  </si>
  <si>
    <t>Nachname</t>
  </si>
  <si>
    <t>Max Peter Huber</t>
  </si>
  <si>
    <t>Vorname</t>
  </si>
  <si>
    <t>Max Peter</t>
  </si>
  <si>
    <t>Erica</t>
  </si>
  <si>
    <t>Laura</t>
  </si>
  <si>
    <t>Paul</t>
  </si>
  <si>
    <t>Peter</t>
  </si>
  <si>
    <t>Hanna</t>
  </si>
  <si>
    <t>Mila</t>
  </si>
  <si>
    <t>Felix</t>
  </si>
  <si>
    <t>Emma</t>
  </si>
  <si>
    <t>Ben</t>
  </si>
  <si>
    <t>Michael</t>
  </si>
  <si>
    <t>Franziska</t>
  </si>
  <si>
    <t>Emanuel</t>
  </si>
  <si>
    <t>Sieglinde</t>
  </si>
  <si>
    <t>Fred</t>
  </si>
  <si>
    <t>Emil</t>
  </si>
  <si>
    <t>Katharina</t>
  </si>
  <si>
    <t>Huber</t>
  </si>
  <si>
    <t>Mayer</t>
  </si>
  <si>
    <t>Schmidt</t>
  </si>
  <si>
    <t>Schneider</t>
  </si>
  <si>
    <t>Fischer</t>
  </si>
  <si>
    <t>Weber</t>
  </si>
  <si>
    <t>Richter</t>
  </si>
  <si>
    <t>Klein</t>
  </si>
  <si>
    <t>Schäfer</t>
  </si>
  <si>
    <t>Koch</t>
  </si>
  <si>
    <t>Meier</t>
  </si>
  <si>
    <t>Kleinhans</t>
  </si>
  <si>
    <t>Burkhardt</t>
  </si>
  <si>
    <t>Freimoser</t>
  </si>
  <si>
    <t>Smith</t>
  </si>
  <si>
    <t>Kästner</t>
  </si>
  <si>
    <t>Freitag</t>
  </si>
  <si>
    <t>Kundentyp</t>
  </si>
  <si>
    <t>A</t>
  </si>
  <si>
    <t>B</t>
  </si>
  <si>
    <t>Bestellungen gesamt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</si>
</sst>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2" fillId="0" borderId="0" xfId="1"/>
    <xf numFmtId="2" fontId="0" fillId="0" borderId="0" xfId="0" applyNumberFormat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lauraschm@gmx.de" TargetMode="External"/><Relationship Id="rId13" Type="http://schemas.openxmlformats.org/officeDocument/2006/relationships/hyperlink" Target="mailto:h.weber@mailinator.de" TargetMode="External"/><Relationship Id="rId18" Type="http://schemas.openxmlformats.org/officeDocument/2006/relationships/hyperlink" Target="mailto:franzi-k2@gmail.com" TargetMode="External"/><Relationship Id="rId26" Type="http://schemas.openxmlformats.org/officeDocument/2006/relationships/printerSettings" Target="../printerSettings/printerSettings1.bin"/><Relationship Id="rId3" Type="http://schemas.openxmlformats.org/officeDocument/2006/relationships/hyperlink" Target="mailto:felixk81@yahoo.de" TargetMode="External"/><Relationship Id="rId21" Type="http://schemas.openxmlformats.org/officeDocument/2006/relationships/hyperlink" Target="mailto:fred.smith45@gmail.com" TargetMode="External"/><Relationship Id="rId7" Type="http://schemas.openxmlformats.org/officeDocument/2006/relationships/hyperlink" Target="mailto:emma123@gmx.de" TargetMode="External"/><Relationship Id="rId12" Type="http://schemas.openxmlformats.org/officeDocument/2006/relationships/hyperlink" Target="mailto:peter.fischer@gmail.com" TargetMode="External"/><Relationship Id="rId17" Type="http://schemas.openxmlformats.org/officeDocument/2006/relationships/hyperlink" Target="mailto:m.meier97-2@gmx.de" TargetMode="External"/><Relationship Id="rId25" Type="http://schemas.openxmlformats.org/officeDocument/2006/relationships/hyperlink" Target="mailto:sieglinde.freimoser@aol.com" TargetMode="External"/><Relationship Id="rId2" Type="http://schemas.openxmlformats.org/officeDocument/2006/relationships/hyperlink" Target="mailto:ericamayer@hotmail.de" TargetMode="External"/><Relationship Id="rId16" Type="http://schemas.openxmlformats.org/officeDocument/2006/relationships/hyperlink" Target="mailto:m.meier97-2@gmx.de" TargetMode="External"/><Relationship Id="rId20" Type="http://schemas.openxmlformats.org/officeDocument/2006/relationships/hyperlink" Target="mailto:ebkh@yahoo.de" TargetMode="External"/><Relationship Id="rId1" Type="http://schemas.openxmlformats.org/officeDocument/2006/relationships/hyperlink" Target="mailto:maxhuber95@gmail.com" TargetMode="External"/><Relationship Id="rId6" Type="http://schemas.openxmlformats.org/officeDocument/2006/relationships/hyperlink" Target="mailto:emma123@gmx.de" TargetMode="External"/><Relationship Id="rId11" Type="http://schemas.openxmlformats.org/officeDocument/2006/relationships/hyperlink" Target="mailto:paul@mail.de" TargetMode="External"/><Relationship Id="rId24" Type="http://schemas.openxmlformats.org/officeDocument/2006/relationships/hyperlink" Target="mailto:freitagkatharina@gmx.de" TargetMode="External"/><Relationship Id="rId5" Type="http://schemas.openxmlformats.org/officeDocument/2006/relationships/hyperlink" Target="mailto:benkoch@hotmail.de" TargetMode="External"/><Relationship Id="rId15" Type="http://schemas.openxmlformats.org/officeDocument/2006/relationships/hyperlink" Target="mailto:mila.r@byom.de" TargetMode="External"/><Relationship Id="rId23" Type="http://schemas.openxmlformats.org/officeDocument/2006/relationships/hyperlink" Target="mailto:freitagkatharina@gmx.de" TargetMode="External"/><Relationship Id="rId10" Type="http://schemas.openxmlformats.org/officeDocument/2006/relationships/hyperlink" Target="mailto:paul@mail.de" TargetMode="External"/><Relationship Id="rId19" Type="http://schemas.openxmlformats.org/officeDocument/2006/relationships/hyperlink" Target="mailto:franzi-k2@gmail.com" TargetMode="External"/><Relationship Id="rId4" Type="http://schemas.openxmlformats.org/officeDocument/2006/relationships/hyperlink" Target="mailto:peter.fischer@gmail.com" TargetMode="External"/><Relationship Id="rId9" Type="http://schemas.openxmlformats.org/officeDocument/2006/relationships/hyperlink" Target="mailto:paul@mail.de" TargetMode="External"/><Relationship Id="rId14" Type="http://schemas.openxmlformats.org/officeDocument/2006/relationships/hyperlink" Target="mailto:mila.r@byom.de" TargetMode="External"/><Relationship Id="rId22" Type="http://schemas.openxmlformats.org/officeDocument/2006/relationships/hyperlink" Target="mailto:e.kaestner@ao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8544C-244D-465C-9F91-50FADE97C4E4}">
  <sheetPr codeName="Tabelle1"/>
  <dimension ref="A1:B5"/>
  <sheetViews>
    <sheetView workbookViewId="0">
      <selection activeCell="A2" sqref="A2"/>
    </sheetView>
  </sheetViews>
  <sheetFormatPr baseColWidth="10" defaultRowHeight="14.4" x14ac:dyDescent="0.3"/>
  <cols>
    <col min="1" max="1" width="24.33203125" bestFit="1" customWidth="1"/>
  </cols>
  <sheetData>
    <row r="1" spans="1:2" x14ac:dyDescent="0.3">
      <c r="A1" s="2" t="s">
        <v>12</v>
      </c>
      <c r="B1" s="2" t="s">
        <v>16</v>
      </c>
    </row>
    <row r="2" spans="1:2" x14ac:dyDescent="0.3">
      <c r="A2" t="s">
        <v>14</v>
      </c>
      <c r="B2">
        <v>9.9499999999999993</v>
      </c>
    </row>
    <row r="3" spans="1:2" x14ac:dyDescent="0.3">
      <c r="A3" t="s">
        <v>13</v>
      </c>
      <c r="B3">
        <v>14.95</v>
      </c>
    </row>
    <row r="4" spans="1:2" x14ac:dyDescent="0.3">
      <c r="A4" t="s">
        <v>15</v>
      </c>
      <c r="B4">
        <v>18.350000000000001</v>
      </c>
    </row>
    <row r="5" spans="1:2" x14ac:dyDescent="0.3">
      <c r="A5" t="s">
        <v>17</v>
      </c>
      <c r="B5">
        <v>8.99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K26"/>
  <sheetViews>
    <sheetView tabSelected="1" topLeftCell="A13" workbookViewId="0">
      <selection activeCell="F29" sqref="F29"/>
    </sheetView>
  </sheetViews>
  <sheetFormatPr baseColWidth="10" defaultColWidth="8.88671875" defaultRowHeight="14.4" x14ac:dyDescent="0.3"/>
  <cols>
    <col min="1" max="1" width="10.109375" bestFit="1" customWidth="1"/>
    <col min="2" max="2" width="18.33203125" bestFit="1" customWidth="1"/>
    <col min="3" max="4" width="18.33203125" customWidth="1"/>
    <col min="5" max="5" width="25.109375" bestFit="1" customWidth="1"/>
    <col min="6" max="6" width="22.5546875" bestFit="1" customWidth="1"/>
    <col min="7" max="7" width="13.44140625" bestFit="1" customWidth="1"/>
    <col min="8" max="8" width="13.88671875" bestFit="1" customWidth="1"/>
    <col min="9" max="9" width="13.5546875" bestFit="1" customWidth="1"/>
    <col min="10" max="10" width="13.44140625" bestFit="1" customWidth="1"/>
    <col min="11" max="11" width="179.33203125" bestFit="1" customWidth="1"/>
    <col min="12" max="12" width="24.33203125" bestFit="1" customWidth="1"/>
  </cols>
  <sheetData>
    <row r="1" spans="1:11" x14ac:dyDescent="0.3">
      <c r="A1" s="2" t="s">
        <v>0</v>
      </c>
      <c r="B1" s="2" t="s">
        <v>1</v>
      </c>
      <c r="C1" s="2" t="s">
        <v>47</v>
      </c>
      <c r="D1" s="2" t="s">
        <v>48</v>
      </c>
      <c r="E1" s="2" t="s">
        <v>22</v>
      </c>
      <c r="F1" s="2" t="s">
        <v>12</v>
      </c>
      <c r="G1" s="2" t="s">
        <v>11</v>
      </c>
      <c r="H1" s="2" t="s">
        <v>19</v>
      </c>
      <c r="I1" s="2" t="s">
        <v>18</v>
      </c>
      <c r="J1" s="2" t="s">
        <v>20</v>
      </c>
      <c r="K1" s="2" t="s">
        <v>21</v>
      </c>
    </row>
    <row r="2" spans="1:11" x14ac:dyDescent="0.3">
      <c r="A2" s="1">
        <v>44397</v>
      </c>
      <c r="B2" t="s">
        <v>49</v>
      </c>
      <c r="C2" t="str">
        <f>Vornamen(B2)</f>
        <v>Max Peter</v>
      </c>
      <c r="D2" t="str">
        <f>NACHNAME(B2)</f>
        <v>Huber</v>
      </c>
      <c r="E2" s="3" t="s">
        <v>23</v>
      </c>
      <c r="F2" t="s">
        <v>14</v>
      </c>
      <c r="G2">
        <v>2</v>
      </c>
      <c r="H2" s="4">
        <f>G2*9.95</f>
        <v>19.899999999999999</v>
      </c>
      <c r="I2">
        <f>VERSAND(F2,H2)</f>
        <v>4.99</v>
      </c>
      <c r="K2" t="str">
        <f>ANTWORTEMAIL(F2,G2,H2,I2,J2,B2)</f>
        <v>Hallo Max Peter Huber,_x000D_
_x000D_
vielen Dank für Ihre Bestellung._x000D_
Bestelltes Produkt: 2x Shampoo Sensitive Plus_x000D_
Bestellwert: 19,9_x000D_
Versandkosten: 4,99_x000D_
Gesamtkosten: _x000D_
_x000D_
Mit freundlichen Grüßen_x000D_
Ihr Online-Shop</v>
      </c>
    </row>
    <row r="3" spans="1:11" x14ac:dyDescent="0.3">
      <c r="A3" s="1">
        <v>44398</v>
      </c>
      <c r="B3" t="s">
        <v>2</v>
      </c>
      <c r="C3" t="str">
        <f t="shared" ref="C3:C26" si="0">Vornamen(B3)</f>
        <v>Erica</v>
      </c>
      <c r="D3" t="str">
        <f t="shared" ref="D3:D26" si="1">NACHNAME(B3)</f>
        <v>Mayer</v>
      </c>
      <c r="E3" s="3" t="s">
        <v>24</v>
      </c>
      <c r="F3" t="s">
        <v>13</v>
      </c>
      <c r="G3">
        <v>1</v>
      </c>
      <c r="H3" s="4">
        <f t="shared" ref="H3:H26" si="2">G3*9.95</f>
        <v>9.9499999999999993</v>
      </c>
      <c r="I3">
        <f t="shared" ref="I3:I26" si="3">VERSAND(F3,H3)</f>
        <v>4.99</v>
      </c>
      <c r="K3" t="str">
        <f t="shared" ref="K3:K26" si="4">ANTWORTEMAIL(F3,G3,H3,I3,J3,B3)</f>
        <v>Hallo Erica Mayer,_x000D_
_x000D_
vielen Dank für Ihre Bestellung._x000D_
Bestelltes Produkt: 1x Pflegespülung Kokostraum_x000D_
Bestellwert: 9,95_x000D_
Versandkosten: 4,99_x000D_
Gesamtkosten: _x000D_
_x000D_
Mit freundlichen Grüßen_x000D_
Ihr Online-Shop</v>
      </c>
    </row>
    <row r="4" spans="1:11" x14ac:dyDescent="0.3">
      <c r="A4" s="1">
        <v>44402</v>
      </c>
      <c r="B4" t="s">
        <v>3</v>
      </c>
      <c r="C4" t="str">
        <f t="shared" si="0"/>
        <v>Laura</v>
      </c>
      <c r="D4" t="str">
        <f t="shared" si="1"/>
        <v>Schmidt</v>
      </c>
      <c r="E4" s="3" t="s">
        <v>29</v>
      </c>
      <c r="F4" t="s">
        <v>15</v>
      </c>
      <c r="G4">
        <v>2</v>
      </c>
      <c r="H4" s="4">
        <f t="shared" si="2"/>
        <v>19.899999999999999</v>
      </c>
      <c r="I4">
        <f t="shared" si="3"/>
        <v>4.99</v>
      </c>
      <c r="K4" t="str">
        <f t="shared" si="4"/>
        <v>Hallo Laura Schmidt,_x000D_
_x000D_
vielen Dank für Ihre Bestellung._x000D_
Bestelltes Produkt: 2x Antischuppen Spezial_x000D_
Bestellwert: 19,9_x000D_
Versandkosten: 4,99_x000D_
Gesamtkosten: _x000D_
_x000D_
Mit freundlichen Grüßen_x000D_
Ihr Online-Shop</v>
      </c>
    </row>
    <row r="5" spans="1:11" x14ac:dyDescent="0.3">
      <c r="A5" s="1">
        <v>44403</v>
      </c>
      <c r="B5" t="s">
        <v>4</v>
      </c>
      <c r="C5" t="str">
        <f t="shared" si="0"/>
        <v>Paul</v>
      </c>
      <c r="D5" t="str">
        <f t="shared" si="1"/>
        <v>Schneider</v>
      </c>
      <c r="E5" s="3" t="s">
        <v>30</v>
      </c>
      <c r="F5" t="s">
        <v>13</v>
      </c>
      <c r="G5">
        <v>3</v>
      </c>
      <c r="H5" s="4">
        <f t="shared" si="2"/>
        <v>29.849999999999998</v>
      </c>
      <c r="I5">
        <f t="shared" si="3"/>
        <v>0</v>
      </c>
      <c r="K5" t="str">
        <f t="shared" si="4"/>
        <v>Hallo Paul Schneider,_x000D_
_x000D_
vielen Dank für Ihre Bestellung._x000D_
Bestelltes Produkt: 3x Pflegespülung Kokostraum_x000D_
Bestellwert: 29,85_x000D_
Versandkosten: 0_x000D_
Gesamtkosten: _x000D_
_x000D_
Mit freundlichen Grüßen_x000D_
Ihr Online-Shop</v>
      </c>
    </row>
    <row r="6" spans="1:11" x14ac:dyDescent="0.3">
      <c r="A6" s="1">
        <v>44403</v>
      </c>
      <c r="B6" t="s">
        <v>4</v>
      </c>
      <c r="C6" t="str">
        <f t="shared" si="0"/>
        <v>Paul</v>
      </c>
      <c r="D6" t="str">
        <f t="shared" si="1"/>
        <v>Schneider</v>
      </c>
      <c r="E6" s="3" t="s">
        <v>30</v>
      </c>
      <c r="F6" t="s">
        <v>15</v>
      </c>
      <c r="G6">
        <v>1</v>
      </c>
      <c r="H6" s="4">
        <f t="shared" si="2"/>
        <v>9.9499999999999993</v>
      </c>
      <c r="I6">
        <f t="shared" si="3"/>
        <v>4.99</v>
      </c>
      <c r="K6" t="str">
        <f t="shared" si="4"/>
        <v>Hallo Paul Schneider,_x000D_
_x000D_
vielen Dank für Ihre Bestellung._x000D_
Bestelltes Produkt: 1x Antischuppen Spezial_x000D_
Bestellwert: 9,95_x000D_
Versandkosten: 4,99_x000D_
Gesamtkosten: _x000D_
_x000D_
Mit freundlichen Grüßen_x000D_
Ihr Online-Shop</v>
      </c>
    </row>
    <row r="7" spans="1:11" x14ac:dyDescent="0.3">
      <c r="A7" s="1">
        <v>44403</v>
      </c>
      <c r="B7" t="s">
        <v>4</v>
      </c>
      <c r="C7" t="str">
        <f t="shared" si="0"/>
        <v>Paul</v>
      </c>
      <c r="D7" t="str">
        <f t="shared" si="1"/>
        <v>Schneider</v>
      </c>
      <c r="E7" s="3" t="s">
        <v>30</v>
      </c>
      <c r="F7" t="s">
        <v>17</v>
      </c>
      <c r="G7">
        <v>2</v>
      </c>
      <c r="H7" s="4">
        <f t="shared" si="2"/>
        <v>19.899999999999999</v>
      </c>
      <c r="I7">
        <f>VERSAND(F7,H7)</f>
        <v>0</v>
      </c>
      <c r="K7" t="str">
        <f t="shared" si="4"/>
        <v>Hallo Paul Schneider,_x000D_
_x000D_
vielen Dank für Ihre Bestellung._x000D_
Bestelltes Produkt: 2x Conditioner Tropical Pro_x000D_
Bestellwert: 19,9_x000D_
Versandkosten: 0_x000D_
Gesamtkosten: _x000D_
_x000D_
Mit freundlichen Grüßen_x000D_
Ihr Online-Shop</v>
      </c>
    </row>
    <row r="8" spans="1:11" x14ac:dyDescent="0.3">
      <c r="A8" s="1">
        <v>44404</v>
      </c>
      <c r="B8" t="s">
        <v>5</v>
      </c>
      <c r="C8" t="str">
        <f t="shared" si="0"/>
        <v>Peter</v>
      </c>
      <c r="D8" t="str">
        <f t="shared" si="1"/>
        <v>Fischer</v>
      </c>
      <c r="E8" s="3" t="s">
        <v>26</v>
      </c>
      <c r="F8" t="s">
        <v>14</v>
      </c>
      <c r="G8">
        <v>1</v>
      </c>
      <c r="H8" s="4">
        <f t="shared" si="2"/>
        <v>9.9499999999999993</v>
      </c>
      <c r="I8">
        <f t="shared" si="3"/>
        <v>4.99</v>
      </c>
      <c r="K8" t="str">
        <f t="shared" si="4"/>
        <v>Hallo Peter Fischer,_x000D_
_x000D_
vielen Dank für Ihre Bestellung._x000D_
Bestelltes Produkt: 1x Shampoo Sensitive Plus_x000D_
Bestellwert: 9,95_x000D_
Versandkosten: 4,99_x000D_
Gesamtkosten: _x000D_
_x000D_
Mit freundlichen Grüßen_x000D_
Ihr Online-Shop</v>
      </c>
    </row>
    <row r="9" spans="1:11" x14ac:dyDescent="0.3">
      <c r="A9" s="1">
        <v>44405</v>
      </c>
      <c r="B9" t="s">
        <v>6</v>
      </c>
      <c r="C9" t="str">
        <f t="shared" si="0"/>
        <v>Hanna</v>
      </c>
      <c r="D9" t="str">
        <f t="shared" si="1"/>
        <v>Weber</v>
      </c>
      <c r="E9" s="3" t="s">
        <v>31</v>
      </c>
      <c r="F9" t="s">
        <v>14</v>
      </c>
      <c r="G9">
        <v>7</v>
      </c>
      <c r="H9" s="4">
        <f t="shared" si="2"/>
        <v>69.649999999999991</v>
      </c>
      <c r="I9">
        <f t="shared" si="3"/>
        <v>0</v>
      </c>
      <c r="K9" t="str">
        <f t="shared" si="4"/>
        <v>Hallo Hanna Weber,_x000D_
_x000D_
vielen Dank für Ihre Bestellung._x000D_
Bestelltes Produkt: 7x Shampoo Sensitive Plus_x000D_
Bestellwert: 69,65_x000D_
Versandkosten: 0_x000D_
Gesamtkosten: _x000D_
_x000D_
Mit freundlichen Grüßen_x000D_
Ihr Online-Shop</v>
      </c>
    </row>
    <row r="10" spans="1:11" x14ac:dyDescent="0.3">
      <c r="A10" s="1">
        <v>44405</v>
      </c>
      <c r="B10" t="s">
        <v>7</v>
      </c>
      <c r="C10" t="str">
        <f t="shared" si="0"/>
        <v>Mila</v>
      </c>
      <c r="D10" t="str">
        <f t="shared" si="1"/>
        <v>Richter</v>
      </c>
      <c r="E10" s="3" t="s">
        <v>32</v>
      </c>
      <c r="F10" t="s">
        <v>17</v>
      </c>
      <c r="G10">
        <v>3</v>
      </c>
      <c r="H10" s="4">
        <f t="shared" si="2"/>
        <v>29.849999999999998</v>
      </c>
      <c r="I10">
        <f t="shared" si="3"/>
        <v>0</v>
      </c>
      <c r="K10" t="str">
        <f t="shared" si="4"/>
        <v>Hallo Mila Richter,_x000D_
_x000D_
vielen Dank für Ihre Bestellung._x000D_
Bestelltes Produkt: 3x Conditioner Tropical Pro_x000D_
Bestellwert: 29,85_x000D_
Versandkosten: 0_x000D_
Gesamtkosten: _x000D_
_x000D_
Mit freundlichen Grüßen_x000D_
Ihr Online-Shop</v>
      </c>
    </row>
    <row r="11" spans="1:11" x14ac:dyDescent="0.3">
      <c r="A11" s="1">
        <v>44405</v>
      </c>
      <c r="B11" t="s">
        <v>7</v>
      </c>
      <c r="C11" t="str">
        <f t="shared" si="0"/>
        <v>Mila</v>
      </c>
      <c r="D11" t="str">
        <f t="shared" si="1"/>
        <v>Richter</v>
      </c>
      <c r="E11" s="3" t="s">
        <v>32</v>
      </c>
      <c r="F11" t="s">
        <v>13</v>
      </c>
      <c r="G11">
        <v>3</v>
      </c>
      <c r="H11" s="4">
        <f t="shared" si="2"/>
        <v>29.849999999999998</v>
      </c>
      <c r="I11">
        <f t="shared" si="3"/>
        <v>0</v>
      </c>
      <c r="K11" t="str">
        <f t="shared" si="4"/>
        <v>Hallo Mila Richter,_x000D_
_x000D_
vielen Dank für Ihre Bestellung._x000D_
Bestelltes Produkt: 3x Pflegespülung Kokostraum_x000D_
Bestellwert: 29,85_x000D_
Versandkosten: 0_x000D_
Gesamtkosten: _x000D_
_x000D_
Mit freundlichen Grüßen_x000D_
Ihr Online-Shop</v>
      </c>
    </row>
    <row r="12" spans="1:11" x14ac:dyDescent="0.3">
      <c r="A12" s="1">
        <v>44408</v>
      </c>
      <c r="B12" t="s">
        <v>8</v>
      </c>
      <c r="C12" t="str">
        <f t="shared" si="0"/>
        <v>Felix</v>
      </c>
      <c r="D12" t="str">
        <f t="shared" si="1"/>
        <v>Klein</v>
      </c>
      <c r="E12" s="3" t="s">
        <v>25</v>
      </c>
      <c r="F12" t="s">
        <v>13</v>
      </c>
      <c r="G12">
        <v>1</v>
      </c>
      <c r="H12" s="4">
        <f t="shared" si="2"/>
        <v>9.9499999999999993</v>
      </c>
      <c r="I12">
        <f t="shared" si="3"/>
        <v>4.99</v>
      </c>
      <c r="K12" t="str">
        <f t="shared" si="4"/>
        <v>Hallo Felix Klein,_x000D_
_x000D_
vielen Dank für Ihre Bestellung._x000D_
Bestelltes Produkt: 1x Pflegespülung Kokostraum_x000D_
Bestellwert: 9,95_x000D_
Versandkosten: 4,99_x000D_
Gesamtkosten: _x000D_
_x000D_
Mit freundlichen Grüßen_x000D_
Ihr Online-Shop</v>
      </c>
    </row>
    <row r="13" spans="1:11" x14ac:dyDescent="0.3">
      <c r="A13" s="1">
        <v>44409</v>
      </c>
      <c r="B13" t="s">
        <v>9</v>
      </c>
      <c r="C13" t="str">
        <f t="shared" si="0"/>
        <v>Emma</v>
      </c>
      <c r="D13" t="str">
        <f t="shared" si="1"/>
        <v>Schäfer</v>
      </c>
      <c r="E13" s="3" t="s">
        <v>28</v>
      </c>
      <c r="F13" t="s">
        <v>17</v>
      </c>
      <c r="G13">
        <v>1</v>
      </c>
      <c r="H13" s="4">
        <f t="shared" si="2"/>
        <v>9.9499999999999993</v>
      </c>
      <c r="I13">
        <f t="shared" si="3"/>
        <v>0</v>
      </c>
      <c r="K13" t="str">
        <f t="shared" si="4"/>
        <v>Hallo Emma Schäfer,_x000D_
_x000D_
vielen Dank für Ihre Bestellung._x000D_
Bestelltes Produkt: 1x Conditioner Tropical Pro_x000D_
Bestellwert: 9,95_x000D_
Versandkosten: 0_x000D_
Gesamtkosten: _x000D_
_x000D_
Mit freundlichen Grüßen_x000D_
Ihr Online-Shop</v>
      </c>
    </row>
    <row r="14" spans="1:11" x14ac:dyDescent="0.3">
      <c r="A14" s="1">
        <v>44409</v>
      </c>
      <c r="B14" t="s">
        <v>9</v>
      </c>
      <c r="C14" t="str">
        <f t="shared" si="0"/>
        <v>Emma</v>
      </c>
      <c r="D14" t="str">
        <f t="shared" si="1"/>
        <v>Schäfer</v>
      </c>
      <c r="E14" s="3" t="s">
        <v>28</v>
      </c>
      <c r="F14" t="s">
        <v>13</v>
      </c>
      <c r="G14">
        <v>2</v>
      </c>
      <c r="H14" s="4">
        <f t="shared" si="2"/>
        <v>19.899999999999999</v>
      </c>
      <c r="I14">
        <f t="shared" si="3"/>
        <v>4.99</v>
      </c>
      <c r="K14" t="str">
        <f t="shared" si="4"/>
        <v>Hallo Emma Schäfer,_x000D_
_x000D_
vielen Dank für Ihre Bestellung._x000D_
Bestelltes Produkt: 2x Pflegespülung Kokostraum_x000D_
Bestellwert: 19,9_x000D_
Versandkosten: 4,99_x000D_
Gesamtkosten: _x000D_
_x000D_
Mit freundlichen Grüßen_x000D_
Ihr Online-Shop</v>
      </c>
    </row>
    <row r="15" spans="1:11" x14ac:dyDescent="0.3">
      <c r="A15" s="1">
        <v>44409</v>
      </c>
      <c r="B15" t="s">
        <v>10</v>
      </c>
      <c r="C15" t="str">
        <f t="shared" si="0"/>
        <v>Ben</v>
      </c>
      <c r="D15" t="str">
        <f t="shared" si="1"/>
        <v>Koch</v>
      </c>
      <c r="E15" s="3" t="s">
        <v>27</v>
      </c>
      <c r="F15" t="s">
        <v>14</v>
      </c>
      <c r="G15">
        <v>1</v>
      </c>
      <c r="H15" s="4">
        <f t="shared" si="2"/>
        <v>9.9499999999999993</v>
      </c>
      <c r="I15">
        <f t="shared" si="3"/>
        <v>4.99</v>
      </c>
      <c r="K15" t="str">
        <f t="shared" si="4"/>
        <v>Hallo Ben Koch,_x000D_
_x000D_
vielen Dank für Ihre Bestellung._x000D_
Bestelltes Produkt: 1x Shampoo Sensitive Plus_x000D_
Bestellwert: 9,95_x000D_
Versandkosten: 4,99_x000D_
Gesamtkosten: _x000D_
_x000D_
Mit freundlichen Grüßen_x000D_
Ihr Online-Shop</v>
      </c>
    </row>
    <row r="16" spans="1:11" x14ac:dyDescent="0.3">
      <c r="A16" s="1">
        <v>44409</v>
      </c>
      <c r="B16" t="s">
        <v>5</v>
      </c>
      <c r="C16" t="str">
        <f t="shared" si="0"/>
        <v>Peter</v>
      </c>
      <c r="D16" t="str">
        <f t="shared" si="1"/>
        <v>Fischer</v>
      </c>
      <c r="E16" s="3" t="s">
        <v>26</v>
      </c>
      <c r="F16" t="s">
        <v>14</v>
      </c>
      <c r="G16">
        <v>2</v>
      </c>
      <c r="H16" s="4">
        <f t="shared" si="2"/>
        <v>19.899999999999999</v>
      </c>
      <c r="I16">
        <f t="shared" si="3"/>
        <v>4.99</v>
      </c>
      <c r="K16" t="str">
        <f t="shared" si="4"/>
        <v>Hallo Peter Fischer,_x000D_
_x000D_
vielen Dank für Ihre Bestellung._x000D_
Bestelltes Produkt: 2x Shampoo Sensitive Plus_x000D_
Bestellwert: 19,9_x000D_
Versandkosten: 4,99_x000D_
Gesamtkosten: _x000D_
_x000D_
Mit freundlichen Grüßen_x000D_
Ihr Online-Shop</v>
      </c>
    </row>
    <row r="17" spans="1:11" x14ac:dyDescent="0.3">
      <c r="A17" s="1">
        <v>44410</v>
      </c>
      <c r="B17" t="s">
        <v>33</v>
      </c>
      <c r="C17" t="str">
        <f t="shared" si="0"/>
        <v>Michael</v>
      </c>
      <c r="D17" t="str">
        <f t="shared" si="1"/>
        <v>Meier</v>
      </c>
      <c r="E17" s="3" t="s">
        <v>40</v>
      </c>
      <c r="F17" t="s">
        <v>14</v>
      </c>
      <c r="G17">
        <v>2</v>
      </c>
      <c r="H17" s="4">
        <f t="shared" si="2"/>
        <v>19.899999999999999</v>
      </c>
      <c r="I17">
        <f t="shared" si="3"/>
        <v>4.99</v>
      </c>
      <c r="K17" t="str">
        <f t="shared" si="4"/>
        <v>Hallo Michael Meier,_x000D_
_x000D_
vielen Dank für Ihre Bestellung._x000D_
Bestelltes Produkt: 2x Shampoo Sensitive Plus_x000D_
Bestellwert: 19,9_x000D_
Versandkosten: 4,99_x000D_
Gesamtkosten: _x000D_
_x000D_
Mit freundlichen Grüßen_x000D_
Ihr Online-Shop</v>
      </c>
    </row>
    <row r="18" spans="1:11" x14ac:dyDescent="0.3">
      <c r="A18" s="1">
        <v>44410</v>
      </c>
      <c r="B18" t="s">
        <v>33</v>
      </c>
      <c r="C18" t="str">
        <f t="shared" si="0"/>
        <v>Michael</v>
      </c>
      <c r="D18" t="str">
        <f t="shared" si="1"/>
        <v>Meier</v>
      </c>
      <c r="E18" s="3" t="s">
        <v>40</v>
      </c>
      <c r="F18" t="s">
        <v>13</v>
      </c>
      <c r="G18">
        <v>1</v>
      </c>
      <c r="H18" s="4">
        <f t="shared" si="2"/>
        <v>9.9499999999999993</v>
      </c>
      <c r="I18">
        <f t="shared" si="3"/>
        <v>4.99</v>
      </c>
      <c r="K18" t="str">
        <f t="shared" si="4"/>
        <v>Hallo Michael Meier,_x000D_
_x000D_
vielen Dank für Ihre Bestellung._x000D_
Bestelltes Produkt: 1x Pflegespülung Kokostraum_x000D_
Bestellwert: 9,95_x000D_
Versandkosten: 4,99_x000D_
Gesamtkosten: _x000D_
_x000D_
Mit freundlichen Grüßen_x000D_
Ihr Online-Shop</v>
      </c>
    </row>
    <row r="19" spans="1:11" x14ac:dyDescent="0.3">
      <c r="A19" s="1">
        <v>44410</v>
      </c>
      <c r="B19" t="s">
        <v>34</v>
      </c>
      <c r="C19" t="str">
        <f t="shared" si="0"/>
        <v>Franziska</v>
      </c>
      <c r="D19" t="str">
        <f t="shared" si="1"/>
        <v>Kleinhans</v>
      </c>
      <c r="E19" s="3" t="s">
        <v>41</v>
      </c>
      <c r="F19" t="s">
        <v>14</v>
      </c>
      <c r="G19">
        <v>3</v>
      </c>
      <c r="H19" s="4">
        <f t="shared" si="2"/>
        <v>29.849999999999998</v>
      </c>
      <c r="I19">
        <f t="shared" si="3"/>
        <v>0</v>
      </c>
      <c r="K19" t="str">
        <f t="shared" si="4"/>
        <v>Hallo Franziska Kleinhans,_x000D_
_x000D_
vielen Dank für Ihre Bestellung._x000D_
Bestelltes Produkt: 3x Shampoo Sensitive Plus_x000D_
Bestellwert: 29,85_x000D_
Versandkosten: 0_x000D_
Gesamtkosten: _x000D_
_x000D_
Mit freundlichen Grüßen_x000D_
Ihr Online-Shop</v>
      </c>
    </row>
    <row r="20" spans="1:11" x14ac:dyDescent="0.3">
      <c r="A20" s="1">
        <v>44410</v>
      </c>
      <c r="B20" t="s">
        <v>34</v>
      </c>
      <c r="C20" t="str">
        <f t="shared" si="0"/>
        <v>Franziska</v>
      </c>
      <c r="D20" t="str">
        <f t="shared" si="1"/>
        <v>Kleinhans</v>
      </c>
      <c r="E20" s="3" t="s">
        <v>41</v>
      </c>
      <c r="F20" t="s">
        <v>17</v>
      </c>
      <c r="G20">
        <v>4</v>
      </c>
      <c r="H20" s="4">
        <f t="shared" si="2"/>
        <v>39.799999999999997</v>
      </c>
      <c r="I20">
        <f t="shared" si="3"/>
        <v>0</v>
      </c>
      <c r="K20" t="str">
        <f t="shared" si="4"/>
        <v>Hallo Franziska Kleinhans,_x000D_
_x000D_
vielen Dank für Ihre Bestellung._x000D_
Bestelltes Produkt: 4x Conditioner Tropical Pro_x000D_
Bestellwert: 39,8_x000D_
Versandkosten: 0_x000D_
Gesamtkosten: _x000D_
_x000D_
Mit freundlichen Grüßen_x000D_
Ihr Online-Shop</v>
      </c>
    </row>
    <row r="21" spans="1:11" x14ac:dyDescent="0.3">
      <c r="A21" s="1">
        <v>44411</v>
      </c>
      <c r="B21" t="s">
        <v>35</v>
      </c>
      <c r="C21" t="str">
        <f t="shared" si="0"/>
        <v>Emanuel</v>
      </c>
      <c r="D21" t="str">
        <f t="shared" si="1"/>
        <v>Burkhardt</v>
      </c>
      <c r="E21" s="3" t="s">
        <v>42</v>
      </c>
      <c r="F21" t="s">
        <v>13</v>
      </c>
      <c r="G21">
        <v>5</v>
      </c>
      <c r="H21" s="4">
        <f t="shared" si="2"/>
        <v>49.75</v>
      </c>
      <c r="I21">
        <f t="shared" si="3"/>
        <v>0</v>
      </c>
      <c r="K21" t="str">
        <f t="shared" si="4"/>
        <v>Hallo Emanuel Burkhardt,_x000D_
_x000D_
vielen Dank für Ihre Bestellung._x000D_
Bestelltes Produkt: 5x Pflegespülung Kokostraum_x000D_
Bestellwert: 49,75_x000D_
Versandkosten: 0_x000D_
Gesamtkosten: _x000D_
_x000D_
Mit freundlichen Grüßen_x000D_
Ihr Online-Shop</v>
      </c>
    </row>
    <row r="22" spans="1:11" x14ac:dyDescent="0.3">
      <c r="A22" s="1">
        <v>44411</v>
      </c>
      <c r="B22" t="s">
        <v>36</v>
      </c>
      <c r="C22" t="str">
        <f t="shared" si="0"/>
        <v>Sieglinde</v>
      </c>
      <c r="D22" t="str">
        <f t="shared" si="1"/>
        <v>Freimoser</v>
      </c>
      <c r="E22" s="3" t="s">
        <v>46</v>
      </c>
      <c r="F22" t="s">
        <v>13</v>
      </c>
      <c r="G22">
        <v>6</v>
      </c>
      <c r="H22" s="4">
        <f t="shared" si="2"/>
        <v>59.699999999999996</v>
      </c>
      <c r="I22">
        <f t="shared" si="3"/>
        <v>0</v>
      </c>
      <c r="K22" t="str">
        <f t="shared" si="4"/>
        <v>Hallo Sieglinde Freimoser,_x000D_
_x000D_
vielen Dank für Ihre Bestellung._x000D_
Bestelltes Produkt: 6x Pflegespülung Kokostraum_x000D_
Bestellwert: 59,7_x000D_
Versandkosten: 0_x000D_
Gesamtkosten: _x000D_
_x000D_
Mit freundlichen Grüßen_x000D_
Ihr Online-Shop</v>
      </c>
    </row>
    <row r="23" spans="1:11" x14ac:dyDescent="0.3">
      <c r="A23" s="1">
        <v>44413</v>
      </c>
      <c r="B23" t="s">
        <v>37</v>
      </c>
      <c r="C23" t="str">
        <f t="shared" si="0"/>
        <v>Fred</v>
      </c>
      <c r="D23" t="str">
        <f t="shared" si="1"/>
        <v>Smith</v>
      </c>
      <c r="E23" s="3" t="s">
        <v>43</v>
      </c>
      <c r="F23" t="s">
        <v>17</v>
      </c>
      <c r="G23">
        <v>2</v>
      </c>
      <c r="H23" s="4">
        <f t="shared" si="2"/>
        <v>19.899999999999999</v>
      </c>
      <c r="I23">
        <f t="shared" si="3"/>
        <v>0</v>
      </c>
      <c r="K23" t="str">
        <f t="shared" si="4"/>
        <v>Hallo Fred Smith,_x000D_
_x000D_
vielen Dank für Ihre Bestellung._x000D_
Bestelltes Produkt: 2x Conditioner Tropical Pro_x000D_
Bestellwert: 19,9_x000D_
Versandkosten: 0_x000D_
Gesamtkosten: _x000D_
_x000D_
Mit freundlichen Grüßen_x000D_
Ihr Online-Shop</v>
      </c>
    </row>
    <row r="24" spans="1:11" x14ac:dyDescent="0.3">
      <c r="A24" s="1">
        <v>44413</v>
      </c>
      <c r="B24" t="s">
        <v>38</v>
      </c>
      <c r="C24" t="str">
        <f t="shared" si="0"/>
        <v>Emil</v>
      </c>
      <c r="D24" t="str">
        <f t="shared" si="1"/>
        <v>Kästner</v>
      </c>
      <c r="E24" s="3" t="s">
        <v>44</v>
      </c>
      <c r="F24" t="s">
        <v>17</v>
      </c>
      <c r="G24">
        <v>3</v>
      </c>
      <c r="H24" s="4">
        <f t="shared" si="2"/>
        <v>29.849999999999998</v>
      </c>
      <c r="I24">
        <f t="shared" si="3"/>
        <v>0</v>
      </c>
      <c r="K24" t="str">
        <f t="shared" si="4"/>
        <v>Hallo Emil Kästner,_x000D_
_x000D_
vielen Dank für Ihre Bestellung._x000D_
Bestelltes Produkt: 3x Conditioner Tropical Pro_x000D_
Bestellwert: 29,85_x000D_
Versandkosten: 0_x000D_
Gesamtkosten: _x000D_
_x000D_
Mit freundlichen Grüßen_x000D_
Ihr Online-Shop</v>
      </c>
    </row>
    <row r="25" spans="1:11" x14ac:dyDescent="0.3">
      <c r="A25" s="1">
        <v>44413</v>
      </c>
      <c r="B25" t="s">
        <v>39</v>
      </c>
      <c r="C25" t="str">
        <f t="shared" si="0"/>
        <v>Katharina</v>
      </c>
      <c r="D25" t="str">
        <f t="shared" si="1"/>
        <v>Freitag</v>
      </c>
      <c r="E25" s="3" t="s">
        <v>45</v>
      </c>
      <c r="F25" t="s">
        <v>17</v>
      </c>
      <c r="G25">
        <v>4</v>
      </c>
      <c r="H25" s="4">
        <f t="shared" si="2"/>
        <v>39.799999999999997</v>
      </c>
      <c r="I25">
        <f t="shared" si="3"/>
        <v>0</v>
      </c>
      <c r="K25" t="str">
        <f t="shared" si="4"/>
        <v>Hallo Katharina Freitag,_x000D_
_x000D_
vielen Dank für Ihre Bestellung._x000D_
Bestelltes Produkt: 4x Conditioner Tropical Pro_x000D_
Bestellwert: 39,8_x000D_
Versandkosten: 0_x000D_
Gesamtkosten: _x000D_
_x000D_
Mit freundlichen Grüßen_x000D_
Ihr Online-Shop</v>
      </c>
    </row>
    <row r="26" spans="1:11" x14ac:dyDescent="0.3">
      <c r="A26" s="1">
        <v>44413</v>
      </c>
      <c r="B26" t="s">
        <v>39</v>
      </c>
      <c r="C26" t="str">
        <f t="shared" si="0"/>
        <v>Katharina</v>
      </c>
      <c r="D26" t="str">
        <f t="shared" si="1"/>
        <v>Freitag</v>
      </c>
      <c r="E26" s="3" t="s">
        <v>45</v>
      </c>
      <c r="F26" t="s">
        <v>14</v>
      </c>
      <c r="G26">
        <v>1</v>
      </c>
      <c r="H26" s="4">
        <f t="shared" si="2"/>
        <v>9.9499999999999993</v>
      </c>
      <c r="I26">
        <f t="shared" si="3"/>
        <v>4.99</v>
      </c>
      <c r="K26" t="str">
        <f t="shared" si="4"/>
        <v>Hallo Katharina Freitag,_x000D_
_x000D_
vielen Dank für Ihre Bestellung._x000D_
Bestelltes Produkt: 1x Shampoo Sensitive Plus_x000D_
Bestellwert: 9,95_x000D_
Versandkosten: 4,99_x000D_
Gesamtkosten: _x000D_
_x000D_
Mit freundlichen Grüßen_x000D_
Ihr Online-Shop</v>
      </c>
    </row>
  </sheetData>
  <hyperlinks>
    <hyperlink ref="E2" r:id="rId1" xr:uid="{227CB55A-1DAC-4413-AE75-D5FD5D810270}"/>
    <hyperlink ref="E3" r:id="rId2" xr:uid="{25C7D684-FBBB-47DA-B319-379FE19FFCA5}"/>
    <hyperlink ref="E12" r:id="rId3" xr:uid="{574D5BF1-1CBF-4E56-86EF-C5713F87AE97}"/>
    <hyperlink ref="E16" r:id="rId4" xr:uid="{70E351B9-578B-4959-BCF8-8BEEBCAF8CED}"/>
    <hyperlink ref="E15" r:id="rId5" xr:uid="{E5069BB0-BF66-4E0D-A818-8130FF3AE497}"/>
    <hyperlink ref="E13" r:id="rId6" xr:uid="{409BC682-222F-4936-874A-79775E300BB4}"/>
    <hyperlink ref="E14" r:id="rId7" xr:uid="{D745D8CF-6610-4C2C-A83C-DF0A6C4C6A58}"/>
    <hyperlink ref="E4" r:id="rId8" xr:uid="{0A668820-BE06-4390-830D-F428857EC03D}"/>
    <hyperlink ref="E5" r:id="rId9" xr:uid="{034DAB15-D50B-478C-8CE2-2FA7F659FBA5}"/>
    <hyperlink ref="E6" r:id="rId10" xr:uid="{6E263222-CD21-4B52-A7F3-14619D471344}"/>
    <hyperlink ref="E7" r:id="rId11" xr:uid="{33286073-C2E3-42C4-BE08-F2BA90CE6B8A}"/>
    <hyperlink ref="E8" r:id="rId12" xr:uid="{348DCF42-3EC1-4077-9C8B-E72F6C5F2A8E}"/>
    <hyperlink ref="E9" r:id="rId13" xr:uid="{A3B9A30C-23B6-4E4E-A53F-C05C699FC00C}"/>
    <hyperlink ref="E10" r:id="rId14" xr:uid="{A66E453E-6937-4673-97C7-02F56F41F830}"/>
    <hyperlink ref="E11" r:id="rId15" xr:uid="{77510349-ED86-4C29-94C8-88F6B5D2CE60}"/>
    <hyperlink ref="E17" r:id="rId16" xr:uid="{6DC86B36-F3EB-412D-805E-0FB6D9BB3AB6}"/>
    <hyperlink ref="E18" r:id="rId17" xr:uid="{5194ED51-2C0F-4B7B-9D66-0DF5200A19EC}"/>
    <hyperlink ref="E19" r:id="rId18" xr:uid="{3FA1AD7D-C501-4095-8DE3-420FAD0657DD}"/>
    <hyperlink ref="E20" r:id="rId19" xr:uid="{29AB6A43-ED53-43A3-A3DC-12D0A9E217CE}"/>
    <hyperlink ref="E21" r:id="rId20" xr:uid="{9E3F74DD-6170-4429-86CD-C373FC8826AA}"/>
    <hyperlink ref="E23" r:id="rId21" xr:uid="{99C9F3A5-B792-4A4E-A42A-0A94C241002D}"/>
    <hyperlink ref="E24" r:id="rId22" xr:uid="{95D5B211-A962-4E5B-A341-F818D3446207}"/>
    <hyperlink ref="E25" r:id="rId23" xr:uid="{200D6166-2BCC-4D34-AF3B-D900B461601F}"/>
    <hyperlink ref="E26" r:id="rId24" xr:uid="{C294A99B-8951-4AFA-83AB-86FB83722536}"/>
    <hyperlink ref="E22" r:id="rId25" xr:uid="{357A532A-D55F-4E97-A53F-A5EF1C29A376}"/>
  </hyperlinks>
  <pageMargins left="0.7" right="0.7" top="0.75" bottom="0.75" header="0.3" footer="0.3"/>
  <pageSetup paperSize="9" orientation="portrait" verticalDpi="300" r:id="rId2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BAB20-B211-4701-B4F5-83F615E04060}">
  <sheetPr codeName="Tabelle8"/>
  <dimension ref="A1:E18"/>
  <sheetViews>
    <sheetView workbookViewId="0">
      <selection activeCell="D20" sqref="D20"/>
    </sheetView>
  </sheetViews>
  <sheetFormatPr baseColWidth="10" defaultRowHeight="14.4" x14ac:dyDescent="0.3"/>
  <cols>
    <col min="3" max="3" width="26.88671875" bestFit="1" customWidth="1"/>
    <col min="4" max="4" width="19.109375" bestFit="1" customWidth="1"/>
  </cols>
  <sheetData>
    <row r="1" spans="1:5" x14ac:dyDescent="0.3">
      <c r="A1" t="s">
        <v>50</v>
      </c>
      <c r="B1" t="s">
        <v>48</v>
      </c>
      <c r="C1" t="s">
        <v>22</v>
      </c>
      <c r="D1" t="s">
        <v>88</v>
      </c>
      <c r="E1" t="s">
        <v>85</v>
      </c>
    </row>
    <row r="2" spans="1:5" x14ac:dyDescent="0.3">
      <c r="A2" t="s">
        <v>51</v>
      </c>
      <c r="B2" t="s">
        <v>68</v>
      </c>
      <c r="C2" t="s">
        <v>23</v>
      </c>
      <c r="D2">
        <v>1</v>
      </c>
      <c r="E2" t="s">
        <v>87</v>
      </c>
    </row>
    <row r="3" spans="1:5" x14ac:dyDescent="0.3">
      <c r="A3" t="s">
        <v>52</v>
      </c>
      <c r="B3" t="s">
        <v>69</v>
      </c>
      <c r="C3" t="s">
        <v>24</v>
      </c>
      <c r="D3">
        <v>1</v>
      </c>
      <c r="E3" t="s">
        <v>87</v>
      </c>
    </row>
    <row r="4" spans="1:5" x14ac:dyDescent="0.3">
      <c r="A4" t="s">
        <v>53</v>
      </c>
      <c r="B4" t="s">
        <v>70</v>
      </c>
      <c r="C4" t="s">
        <v>29</v>
      </c>
      <c r="D4">
        <v>1</v>
      </c>
      <c r="E4" t="s">
        <v>87</v>
      </c>
    </row>
    <row r="5" spans="1:5" x14ac:dyDescent="0.3">
      <c r="A5" t="s">
        <v>54</v>
      </c>
      <c r="B5" t="s">
        <v>71</v>
      </c>
      <c r="C5" t="s">
        <v>30</v>
      </c>
      <c r="D5">
        <v>3</v>
      </c>
      <c r="E5" t="s">
        <v>86</v>
      </c>
    </row>
    <row r="6" spans="1:5" x14ac:dyDescent="0.3">
      <c r="A6" t="s">
        <v>55</v>
      </c>
      <c r="B6" t="s">
        <v>72</v>
      </c>
      <c r="C6" t="s">
        <v>26</v>
      </c>
      <c r="D6">
        <v>2</v>
      </c>
      <c r="E6" t="s">
        <v>86</v>
      </c>
    </row>
    <row r="7" spans="1:5" x14ac:dyDescent="0.3">
      <c r="A7" t="s">
        <v>56</v>
      </c>
      <c r="B7" t="s">
        <v>73</v>
      </c>
      <c r="C7" t="s">
        <v>31</v>
      </c>
      <c r="D7">
        <v>1</v>
      </c>
      <c r="E7" t="s">
        <v>87</v>
      </c>
    </row>
    <row r="8" spans="1:5" x14ac:dyDescent="0.3">
      <c r="A8" t="s">
        <v>57</v>
      </c>
      <c r="B8" t="s">
        <v>74</v>
      </c>
      <c r="C8" t="s">
        <v>32</v>
      </c>
      <c r="D8">
        <v>2</v>
      </c>
      <c r="E8" t="s">
        <v>86</v>
      </c>
    </row>
    <row r="9" spans="1:5" x14ac:dyDescent="0.3">
      <c r="A9" t="s">
        <v>58</v>
      </c>
      <c r="B9" t="s">
        <v>75</v>
      </c>
      <c r="C9" t="s">
        <v>25</v>
      </c>
      <c r="D9">
        <v>1</v>
      </c>
      <c r="E9" t="s">
        <v>87</v>
      </c>
    </row>
    <row r="10" spans="1:5" x14ac:dyDescent="0.3">
      <c r="A10" t="s">
        <v>59</v>
      </c>
      <c r="B10" t="s">
        <v>76</v>
      </c>
      <c r="C10" t="s">
        <v>28</v>
      </c>
      <c r="D10">
        <v>2</v>
      </c>
      <c r="E10" t="s">
        <v>86</v>
      </c>
    </row>
    <row r="11" spans="1:5" x14ac:dyDescent="0.3">
      <c r="A11" t="s">
        <v>60</v>
      </c>
      <c r="B11" t="s">
        <v>77</v>
      </c>
      <c r="C11" t="s">
        <v>27</v>
      </c>
      <c r="D11">
        <v>1</v>
      </c>
      <c r="E11" t="s">
        <v>87</v>
      </c>
    </row>
    <row r="12" spans="1:5" x14ac:dyDescent="0.3">
      <c r="A12" t="s">
        <v>61</v>
      </c>
      <c r="B12" t="s">
        <v>78</v>
      </c>
      <c r="C12" t="s">
        <v>40</v>
      </c>
      <c r="D12">
        <v>2</v>
      </c>
      <c r="E12" t="s">
        <v>86</v>
      </c>
    </row>
    <row r="13" spans="1:5" x14ac:dyDescent="0.3">
      <c r="A13" t="s">
        <v>62</v>
      </c>
      <c r="B13" t="s">
        <v>79</v>
      </c>
      <c r="C13" t="s">
        <v>41</v>
      </c>
      <c r="D13">
        <v>2</v>
      </c>
      <c r="E13" t="s">
        <v>86</v>
      </c>
    </row>
    <row r="14" spans="1:5" x14ac:dyDescent="0.3">
      <c r="A14" t="s">
        <v>63</v>
      </c>
      <c r="B14" t="s">
        <v>80</v>
      </c>
      <c r="C14" t="s">
        <v>42</v>
      </c>
      <c r="D14">
        <v>1</v>
      </c>
      <c r="E14" t="s">
        <v>87</v>
      </c>
    </row>
    <row r="15" spans="1:5" x14ac:dyDescent="0.3">
      <c r="A15" t="s">
        <v>64</v>
      </c>
      <c r="B15" t="s">
        <v>81</v>
      </c>
      <c r="C15" t="s">
        <v>46</v>
      </c>
      <c r="D15">
        <v>1</v>
      </c>
      <c r="E15" t="s">
        <v>87</v>
      </c>
    </row>
    <row r="16" spans="1:5" x14ac:dyDescent="0.3">
      <c r="A16" t="s">
        <v>65</v>
      </c>
      <c r="B16" t="s">
        <v>82</v>
      </c>
      <c r="C16" t="s">
        <v>43</v>
      </c>
      <c r="D16">
        <v>1</v>
      </c>
      <c r="E16" t="s">
        <v>87</v>
      </c>
    </row>
    <row r="17" spans="1:5" x14ac:dyDescent="0.3">
      <c r="A17" t="s">
        <v>66</v>
      </c>
      <c r="B17" t="s">
        <v>83</v>
      </c>
      <c r="C17" t="s">
        <v>44</v>
      </c>
      <c r="D17">
        <v>1</v>
      </c>
      <c r="E17" t="s">
        <v>87</v>
      </c>
    </row>
    <row r="18" spans="1:5" x14ac:dyDescent="0.3">
      <c r="A18" t="s">
        <v>67</v>
      </c>
      <c r="B18" t="s">
        <v>84</v>
      </c>
      <c r="C18" t="s">
        <v>45</v>
      </c>
      <c r="D18">
        <v>2</v>
      </c>
      <c r="E18" t="s">
        <v>86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Produktübersicht</vt:lpstr>
      <vt:lpstr>Bestellungen</vt:lpstr>
      <vt:lpstr>Kunden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Junus Ergin</dc:creator>
  <cp:lastModifiedBy>Junus Ergin</cp:lastModifiedBy>
  <dcterms:created xsi:type="dcterms:W3CDTF">2015-06-05T18:19:34Z</dcterms:created>
  <dcterms:modified xsi:type="dcterms:W3CDTF">2021-09-09T11:38:17Z</dcterms:modified>
</cp:coreProperties>
</file>